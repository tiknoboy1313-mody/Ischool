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Log" sheetId="1" state="visible" r:id="rId1"/>
    <sheet xmlns:r="http://schemas.openxmlformats.org/officeDocument/2006/relationships" name="Dashboard Summary" sheetId="2" state="visible" r:id="rId2"/>
  </sheets>
  <definedNames>
    <definedName name="_xlnm._FilterDatabase" localSheetId="0" hidden="1">'Flight Log'!$A$3:$F$15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8"/>
    </font>
    <font>
      <b val="1"/>
      <color rgb="001E293B"/>
    </font>
    <font>
      <b val="1"/>
      <color rgb="000D9488"/>
      <sz val="14"/>
    </font>
    <font>
      <i val="1"/>
      <color rgb="00475569"/>
    </font>
  </fonts>
  <fills count="8">
    <fill>
      <patternFill/>
    </fill>
    <fill>
      <patternFill patternType="gray125"/>
    </fill>
    <fill>
      <patternFill patternType="solid">
        <fgColor rgb="000A1128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2" fontId="5" fillId="7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Passenger Count by Flight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'Flight Log'!E3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'Flight Log'!$A$4:$A$15</f>
            </numRef>
          </cat>
          <val>
            <numRef>
              <f>'Flight Log'!$E$4:$E$15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Passengers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lightLogTable" displayName="FlightLogTable" ref="A3:F15" headerRowCount="1">
  <autoFilter ref="A3:F15"/>
  <tableColumns count="6">
    <tableColumn id="1" name="Flight Number"/>
    <tableColumn id="2" name="Airline"/>
    <tableColumn id="3" name="Destination Continent"/>
    <tableColumn id="4" name="Scheduled Departure Time"/>
    <tableColumn id="5" name="Passenger Count"/>
    <tableColumn id="6" name="Delay – Minu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8" customWidth="1" min="4" max="4"/>
    <col width="17" customWidth="1" min="5" max="5"/>
    <col width="16" customWidth="1" min="6" max="6"/>
  </cols>
  <sheetData>
    <row r="1">
      <c r="A1" s="1" t="inlineStr">
        <is>
          <t>AEROHUB SMART AIRPORT | FLIGHT SCHEDULE DASHBOARD</t>
        </is>
      </c>
    </row>
    <row r="3">
      <c r="A3" s="2" t="inlineStr">
        <is>
          <t>Flight Number</t>
        </is>
      </c>
      <c r="B3" s="2" t="inlineStr">
        <is>
          <t>Airline</t>
        </is>
      </c>
      <c r="C3" s="2" t="inlineStr">
        <is>
          <t>Destination Continent</t>
        </is>
      </c>
      <c r="D3" s="2" t="inlineStr">
        <is>
          <t>Scheduled Departure Time</t>
        </is>
      </c>
      <c r="E3" s="2" t="inlineStr">
        <is>
          <t>Passenger Count</t>
        </is>
      </c>
      <c r="F3" s="2" t="inlineStr">
        <is>
          <t>Delay – Minutes</t>
        </is>
      </c>
    </row>
    <row r="4">
      <c r="A4" s="3" t="inlineStr">
        <is>
          <t>AH101</t>
        </is>
      </c>
      <c r="B4" s="4" t="inlineStr">
        <is>
          <t>AeroHub Airways</t>
        </is>
      </c>
      <c r="C4" s="3" t="inlineStr">
        <is>
          <t>Europe</t>
        </is>
      </c>
      <c r="D4" s="3" t="inlineStr">
        <is>
          <t>06:30</t>
        </is>
      </c>
      <c r="E4" s="3" t="n">
        <v>180</v>
      </c>
      <c r="F4" s="3" t="n">
        <v>15</v>
      </c>
    </row>
    <row r="5">
      <c r="A5" s="5" t="inlineStr">
        <is>
          <t>AH102</t>
        </is>
      </c>
      <c r="B5" s="6" t="inlineStr">
        <is>
          <t>EgyptAir</t>
        </is>
      </c>
      <c r="C5" s="5" t="inlineStr">
        <is>
          <t>Asia</t>
        </is>
      </c>
      <c r="D5" s="5" t="inlineStr">
        <is>
          <t>07:15</t>
        </is>
      </c>
      <c r="E5" s="5" t="n">
        <v>220</v>
      </c>
      <c r="F5" s="5" t="n">
        <v>5</v>
      </c>
    </row>
    <row r="6">
      <c r="A6" s="3" t="inlineStr">
        <is>
          <t>AH103</t>
        </is>
      </c>
      <c r="B6" s="4" t="inlineStr">
        <is>
          <t>AeroHub Airways</t>
        </is>
      </c>
      <c r="C6" s="3" t="inlineStr">
        <is>
          <t>Africa</t>
        </is>
      </c>
      <c r="D6" s="3" t="inlineStr">
        <is>
          <t>08:00</t>
        </is>
      </c>
      <c r="E6" s="3" t="n">
        <v>165</v>
      </c>
      <c r="F6" s="3" t="n">
        <v>25</v>
      </c>
    </row>
    <row r="7">
      <c r="A7" s="5" t="inlineStr">
        <is>
          <t>AH104</t>
        </is>
      </c>
      <c r="B7" s="6" t="inlineStr">
        <is>
          <t>Nile Airlines</t>
        </is>
      </c>
      <c r="C7" s="5" t="inlineStr">
        <is>
          <t>Europe</t>
        </is>
      </c>
      <c r="D7" s="5" t="inlineStr">
        <is>
          <t>09:20</t>
        </is>
      </c>
      <c r="E7" s="5" t="n">
        <v>195</v>
      </c>
      <c r="F7" s="5" t="n">
        <v>0</v>
      </c>
    </row>
    <row r="8">
      <c r="A8" s="3" t="inlineStr">
        <is>
          <t>AH105</t>
        </is>
      </c>
      <c r="B8" s="4" t="inlineStr">
        <is>
          <t>EgyptAir</t>
        </is>
      </c>
      <c r="C8" s="3" t="inlineStr">
        <is>
          <t>Asia</t>
        </is>
      </c>
      <c r="D8" s="3" t="inlineStr">
        <is>
          <t>10:45</t>
        </is>
      </c>
      <c r="E8" s="3" t="n">
        <v>240</v>
      </c>
      <c r="F8" s="3" t="n">
        <v>40</v>
      </c>
    </row>
    <row r="9">
      <c r="A9" s="5" t="inlineStr">
        <is>
          <t>AH106</t>
        </is>
      </c>
      <c r="B9" s="6" t="inlineStr">
        <is>
          <t>AeroHub Airways</t>
        </is>
      </c>
      <c r="C9" s="5" t="inlineStr">
        <is>
          <t>North America</t>
        </is>
      </c>
      <c r="D9" s="5" t="inlineStr">
        <is>
          <t>12:10</t>
        </is>
      </c>
      <c r="E9" s="5" t="n">
        <v>210</v>
      </c>
      <c r="F9" s="5" t="n">
        <v>10</v>
      </c>
    </row>
    <row r="10">
      <c r="A10" s="3" t="inlineStr">
        <is>
          <t>AH107</t>
        </is>
      </c>
      <c r="B10" s="4" t="inlineStr">
        <is>
          <t>Nile Airlines</t>
        </is>
      </c>
      <c r="C10" s="3" t="inlineStr">
        <is>
          <t>Africa</t>
        </is>
      </c>
      <c r="D10" s="3" t="inlineStr">
        <is>
          <t>13:30</t>
        </is>
      </c>
      <c r="E10" s="3" t="n">
        <v>175</v>
      </c>
      <c r="F10" s="3" t="n">
        <v>30</v>
      </c>
    </row>
    <row r="11">
      <c r="A11" s="5" t="inlineStr">
        <is>
          <t>AH108</t>
        </is>
      </c>
      <c r="B11" s="6" t="inlineStr">
        <is>
          <t>EgyptAir</t>
        </is>
      </c>
      <c r="C11" s="5" t="inlineStr">
        <is>
          <t>Europe</t>
        </is>
      </c>
      <c r="D11" s="5" t="inlineStr">
        <is>
          <t>15:00</t>
        </is>
      </c>
      <c r="E11" s="5" t="n">
        <v>230</v>
      </c>
      <c r="F11" s="5" t="n">
        <v>20</v>
      </c>
    </row>
    <row r="12">
      <c r="A12" s="3" t="inlineStr">
        <is>
          <t>AH109</t>
        </is>
      </c>
      <c r="B12" s="4" t="inlineStr">
        <is>
          <t>AeroHub Airways</t>
        </is>
      </c>
      <c r="C12" s="3" t="inlineStr">
        <is>
          <t>Asia</t>
        </is>
      </c>
      <c r="D12" s="3" t="inlineStr">
        <is>
          <t>17:15</t>
        </is>
      </c>
      <c r="E12" s="3" t="n">
        <v>205</v>
      </c>
      <c r="F12" s="3" t="n">
        <v>50</v>
      </c>
    </row>
    <row r="13">
      <c r="A13" s="5" t="inlineStr">
        <is>
          <t>AH110</t>
        </is>
      </c>
      <c r="B13" s="6" t="inlineStr">
        <is>
          <t>Nile Airlines</t>
        </is>
      </c>
      <c r="C13" s="5" t="inlineStr">
        <is>
          <t>Europe</t>
        </is>
      </c>
      <c r="D13" s="5" t="inlineStr">
        <is>
          <t>19:40</t>
        </is>
      </c>
      <c r="E13" s="5" t="n">
        <v>190</v>
      </c>
      <c r="F13" s="5" t="n">
        <v>8</v>
      </c>
    </row>
    <row r="14">
      <c r="A14" s="3" t="inlineStr">
        <is>
          <t>AH111</t>
        </is>
      </c>
      <c r="B14" s="4" t="inlineStr">
        <is>
          <t>EgyptAir</t>
        </is>
      </c>
      <c r="C14" s="3" t="inlineStr">
        <is>
          <t>Africa</t>
        </is>
      </c>
      <c r="D14" s="3" t="inlineStr">
        <is>
          <t>21:00</t>
        </is>
      </c>
      <c r="E14" s="3" t="n">
        <v>215</v>
      </c>
      <c r="F14" s="3" t="n">
        <v>12</v>
      </c>
    </row>
    <row r="15">
      <c r="A15" s="5" t="inlineStr">
        <is>
          <t>AH112</t>
        </is>
      </c>
      <c r="B15" s="6" t="inlineStr">
        <is>
          <t>AeroHub Airways</t>
        </is>
      </c>
      <c r="C15" s="5" t="inlineStr">
        <is>
          <t>North America</t>
        </is>
      </c>
      <c r="D15" s="5" t="inlineStr">
        <is>
          <t>22:30</t>
        </is>
      </c>
      <c r="E15" s="5" t="n">
        <v>200</v>
      </c>
      <c r="F15" s="5" t="n">
        <v>35</v>
      </c>
    </row>
  </sheetData>
  <autoFilter ref="A3:F15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AEROHUB | DASHBOARD SUMMARY</t>
        </is>
      </c>
    </row>
    <row r="3">
      <c r="A3" s="8" t="inlineStr">
        <is>
          <t>Total Flights</t>
        </is>
      </c>
      <c r="B3" s="9">
        <f>COUNTA('Flight Log'!A4:A15)</f>
        <v/>
      </c>
    </row>
    <row r="4">
      <c r="A4" s="8" t="inlineStr">
        <is>
          <t>Total Passengers</t>
        </is>
      </c>
      <c r="B4" s="9">
        <f>SUM('Flight Log'!E4:E15)</f>
        <v/>
      </c>
    </row>
    <row r="5">
      <c r="A5" s="8" t="inlineStr">
        <is>
          <t>Average Delay (min)</t>
        </is>
      </c>
      <c r="B5" s="10">
        <f>AVERAGE('Flight Log'!F4:F15)</f>
        <v/>
      </c>
    </row>
    <row r="6">
      <c r="A6" s="8" t="inlineStr">
        <is>
          <t>Maximum Delay (min)</t>
        </is>
      </c>
      <c r="B6" s="9">
        <f>MAX('Flight Log'!F4:F15)</f>
        <v/>
      </c>
    </row>
    <row r="7">
      <c r="A7" s="8" t="inlineStr">
        <is>
          <t>Minimum Delay (min)</t>
        </is>
      </c>
      <c r="B7" s="9">
        <f>MIN('Flight Log'!F4:F15)</f>
        <v/>
      </c>
    </row>
    <row r="10">
      <c r="A10" s="11" t="inlineStr">
        <is>
          <t>Filter the Flight Log sheet by Destination Continent to view Europe-only operations.</t>
        </is>
      </c>
    </row>
  </sheetData>
  <mergeCells count="2">
    <mergeCell ref="A1:D1"/>
    <mergeCell ref="A10:D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2026-08-24T23:40:40Z</dcterms:created>
  <dcterms:modified xmlns:dcterms="http://purl.org/dc/terms/" xmlns:xsi="http://www.w3.org/2001/XMLSchema-instance" xsi:type="dcterms:W3CDTF">2026-08-24T23:40:40Z</dcterms:modified>
</cp:coreProperties>
</file>